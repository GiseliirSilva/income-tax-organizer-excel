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seliISilva\Desktop\Curso_Excel\Projeto Excel\"/>
    </mc:Choice>
  </mc:AlternateContent>
  <xr:revisionPtr revIDLastSave="0" documentId="13_ncr:1_{1DF3A630-06B4-4B33-BCD9-2F795B68B19A}" xr6:coauthVersionLast="47" xr6:coauthVersionMax="47" xr10:uidLastSave="{00000000-0000-0000-0000-000000000000}"/>
  <bookViews>
    <workbookView xWindow="-120" yWindow="-120" windowWidth="21840" windowHeight="13020" tabRatio="0" xr2:uid="{9BBA06DB-7476-4352-ADFD-6927A844D87C}"/>
  </bookViews>
  <sheets>
    <sheet name="Projeto_FII" sheetId="1" r:id="rId1"/>
    <sheet name="Tbl_Apoio" sheetId="2" state="hidden" r:id="rId2"/>
  </sheets>
  <definedNames>
    <definedName name="Anos_10">Projeto_FII!$A$27</definedName>
    <definedName name="Anos_2">Projeto_FII!$A$25</definedName>
    <definedName name="Anos_20">Projeto_FII!$A$28</definedName>
    <definedName name="Anos_30">Projeto_FII!$A$29</definedName>
    <definedName name="Anos_5">Projeto_FII!$A$26</definedName>
    <definedName name="Aporte">Projeto_FII!$D$18</definedName>
    <definedName name="FII_Desenvolvimento">Projeto_FII!$B$40</definedName>
    <definedName name="FII_FOFs">Projeto_FII!$B$39</definedName>
    <definedName name="FII_Hibridos">Projeto_FII!$B$38</definedName>
    <definedName name="FII_Hotelarias">Projeto_FII!$B$41</definedName>
    <definedName name="FII_Papel">Projeto_FII!$B$36</definedName>
    <definedName name="FII_Tijolo">Projeto_FII!$B$37</definedName>
    <definedName name="Patrimonio">Projeto_FII!$D$21</definedName>
    <definedName name="Perfil">Projeto_FII!$D$32</definedName>
    <definedName name="qtd_anos">Projeto_FII!$D$19</definedName>
    <definedName name="rendimento_carteira">Projeto_FII!$D$14</definedName>
    <definedName name="Salario">Projeto_FII!$D$13</definedName>
    <definedName name="SegmentaçãodeDados_PERCENTUAL">#N/A</definedName>
    <definedName name="Taxa_Mensal">Projeto_FII!$D$20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C25" i="1"/>
  <c r="D25" i="1"/>
  <c r="C29" i="1"/>
  <c r="D29" i="1" s="1"/>
  <c r="C28" i="1"/>
  <c r="D28" i="1" s="1"/>
  <c r="C27" i="1"/>
  <c r="D27" i="1" s="1"/>
  <c r="C26" i="1"/>
  <c r="D26" i="1" s="1"/>
  <c r="C38" i="1"/>
  <c r="C37" i="1"/>
  <c r="C36" i="1"/>
  <c r="G3" i="2"/>
  <c r="A17" i="2"/>
  <c r="A18" i="2"/>
  <c r="A19" i="2"/>
  <c r="A20" i="2"/>
  <c r="A21" i="2"/>
  <c r="A16" i="2"/>
  <c r="A5" i="2"/>
  <c r="A6" i="2"/>
  <c r="A7" i="2"/>
  <c r="A8" i="2"/>
  <c r="A9" i="2"/>
  <c r="A4" i="2"/>
  <c r="A11" i="2"/>
  <c r="A12" i="2"/>
  <c r="A13" i="2"/>
  <c r="A14" i="2"/>
  <c r="A15" i="2"/>
  <c r="A10" i="2"/>
  <c r="C41" i="1" s="1"/>
  <c r="D21" i="1"/>
  <c r="D22" i="1" s="1"/>
  <c r="D33" i="1"/>
  <c r="C40" i="1" l="1"/>
  <c r="D40" i="1" s="1"/>
  <c r="C39" i="1"/>
  <c r="D39" i="1" s="1"/>
  <c r="D37" i="1"/>
  <c r="D36" i="1"/>
  <c r="D41" i="1"/>
  <c r="D38" i="1"/>
  <c r="D42" i="1" l="1"/>
</calcChain>
</file>

<file path=xl/sharedStrings.xml><?xml version="1.0" encoding="utf-8"?>
<sst xmlns="http://schemas.openxmlformats.org/spreadsheetml/2006/main" count="73" uniqueCount="36">
  <si>
    <t>INVESTIMENTO MENSAL</t>
  </si>
  <si>
    <t>Quanto investir por mês?</t>
  </si>
  <si>
    <t>Por quantos anos investir?</t>
  </si>
  <si>
    <t>Taxa de rendimento mensal?</t>
  </si>
  <si>
    <t>Patrimônio acumulado?</t>
  </si>
  <si>
    <t>Dividendos mensais?</t>
  </si>
  <si>
    <t>Quanto em 2 Anos</t>
  </si>
  <si>
    <t>Quanto em 5 Anos</t>
  </si>
  <si>
    <t>Quanto em 10 Anos</t>
  </si>
  <si>
    <t>Quanto em 20 Anos</t>
  </si>
  <si>
    <t>Quanto em 30 Anos</t>
  </si>
  <si>
    <t>CENÁRIOS</t>
  </si>
  <si>
    <t>DIVIDENDO</t>
  </si>
  <si>
    <t>Salário</t>
  </si>
  <si>
    <t>Rendimento da Carteira</t>
  </si>
  <si>
    <t>Sugestão de Investimento</t>
  </si>
  <si>
    <t>CONFIGURAÇÕES</t>
  </si>
  <si>
    <t>PERFIL</t>
  </si>
  <si>
    <t>VALOR DE INVESTIMENTO MENSAL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</si>
  <si>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</si>
  <si>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</si>
  <si>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</si>
  <si>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</si>
  <si>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</si>
  <si>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</si>
  <si>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</si>
  <si>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</si>
  <si>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</si>
  <si>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PERCENTUAL</t>
  </si>
  <si>
    <t>CHAVE</t>
  </si>
  <si>
    <t>Conservador</t>
  </si>
  <si>
    <t>Moderado</t>
  </si>
  <si>
    <t>Agressivo</t>
  </si>
  <si>
    <t>%</t>
  </si>
  <si>
    <t>Moderado-TIJOLO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</si>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</sst>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0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Segoe UI Semibold"/>
      <family val="2"/>
    </font>
    <font>
      <b/>
      <sz val="18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 style="double">
        <color rgb="FFFF8001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14996795556505021"/>
      </top>
      <bottom style="double">
        <color rgb="FFFF8001"/>
      </bottom>
      <diagonal/>
    </border>
    <border>
      <left/>
      <right/>
      <top style="thin">
        <color theme="0" tint="-0.14996795556505021"/>
      </top>
      <bottom style="double">
        <color rgb="FFFF800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1" applyNumberFormat="0" applyFill="0" applyAlignment="0" applyProtection="0"/>
  </cellStyleXfs>
  <cellXfs count="71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/>
    <xf numFmtId="0" fontId="7" fillId="5" borderId="2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2" fillId="2" borderId="0" xfId="3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2" applyFont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0" fillId="0" borderId="17" xfId="2" applyFont="1" applyFill="1" applyBorder="1" applyAlignment="1">
      <alignment horizontal="center" vertical="center"/>
    </xf>
    <xf numFmtId="9" fontId="2" fillId="2" borderId="0" xfId="2" applyFont="1" applyFill="1"/>
    <xf numFmtId="9" fontId="0" fillId="0" borderId="0" xfId="2" applyNumberFormat="1" applyFont="1" applyAlignment="1">
      <alignment horizontal="center" vertical="center"/>
    </xf>
    <xf numFmtId="170" fontId="0" fillId="0" borderId="7" xfId="0" applyNumberFormat="1" applyBorder="1" applyAlignment="1">
      <alignment horizontal="center" vertical="center"/>
    </xf>
    <xf numFmtId="170" fontId="0" fillId="6" borderId="9" xfId="0" applyNumberFormat="1" applyFill="1" applyBorder="1" applyAlignment="1">
      <alignment horizontal="center" vertical="center"/>
    </xf>
    <xf numFmtId="0" fontId="4" fillId="0" borderId="27" xfId="4" applyBorder="1" applyAlignment="1">
      <alignment horizontal="left" vertical="center"/>
    </xf>
    <xf numFmtId="0" fontId="4" fillId="0" borderId="28" xfId="4" applyBorder="1" applyAlignment="1">
      <alignment horizontal="left" vertical="center"/>
    </xf>
    <xf numFmtId="170" fontId="3" fillId="0" borderId="24" xfId="4" applyNumberFormat="1" applyFont="1" applyBorder="1" applyAlignment="1">
      <alignment horizontal="left" vertical="center"/>
    </xf>
    <xf numFmtId="0" fontId="2" fillId="2" borderId="21" xfId="3" applyBorder="1" applyAlignment="1">
      <alignment horizontal="left" vertical="center"/>
    </xf>
    <xf numFmtId="0" fontId="2" fillId="2" borderId="22" xfId="3" applyBorder="1" applyAlignment="1">
      <alignment vertical="center"/>
    </xf>
    <xf numFmtId="0" fontId="2" fillId="2" borderId="23" xfId="3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13" fillId="6" borderId="25" xfId="0" applyFont="1" applyFill="1" applyBorder="1" applyAlignment="1">
      <alignment horizontal="left" vertical="center"/>
    </xf>
    <xf numFmtId="0" fontId="13" fillId="6" borderId="26" xfId="0" applyFont="1" applyFill="1" applyBorder="1" applyAlignment="1">
      <alignment horizontal="left" vertical="center"/>
    </xf>
    <xf numFmtId="8" fontId="11" fillId="4" borderId="12" xfId="0" applyNumberFormat="1" applyFont="1" applyFill="1" applyBorder="1" applyAlignment="1">
      <alignment horizontal="center" vertical="center"/>
    </xf>
    <xf numFmtId="8" fontId="11" fillId="4" borderId="13" xfId="0" applyNumberFormat="1" applyFont="1" applyFill="1" applyBorder="1" applyAlignment="1">
      <alignment horizontal="center" vertical="center"/>
    </xf>
    <xf numFmtId="8" fontId="11" fillId="4" borderId="14" xfId="0" applyNumberFormat="1" applyFont="1" applyFill="1" applyBorder="1" applyAlignment="1">
      <alignment horizontal="center" vertical="center"/>
    </xf>
    <xf numFmtId="8" fontId="11" fillId="4" borderId="7" xfId="0" applyNumberFormat="1" applyFont="1" applyFill="1" applyBorder="1" applyAlignment="1">
      <alignment horizontal="center" vertical="center"/>
    </xf>
    <xf numFmtId="8" fontId="11" fillId="4" borderId="15" xfId="0" applyNumberFormat="1" applyFont="1" applyFill="1" applyBorder="1" applyAlignment="1">
      <alignment horizontal="center" vertical="center"/>
    </xf>
    <xf numFmtId="8" fontId="11" fillId="4" borderId="9" xfId="0" applyNumberFormat="1" applyFont="1" applyFill="1" applyBorder="1" applyAlignment="1">
      <alignment horizontal="center" vertical="center"/>
    </xf>
    <xf numFmtId="170" fontId="12" fillId="0" borderId="5" xfId="1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0" fontId="12" fillId="0" borderId="7" xfId="0" applyNumberFormat="1" applyFont="1" applyBorder="1" applyAlignment="1">
      <alignment horizontal="center" vertical="center"/>
    </xf>
    <xf numFmtId="8" fontId="12" fillId="4" borderId="7" xfId="0" applyNumberFormat="1" applyFont="1" applyFill="1" applyBorder="1" applyAlignment="1">
      <alignment horizontal="center" vertical="center"/>
    </xf>
    <xf numFmtId="8" fontId="12" fillId="4" borderId="9" xfId="0" applyNumberFormat="1" applyFont="1" applyFill="1" applyBorder="1" applyAlignment="1">
      <alignment horizontal="center" vertical="center"/>
    </xf>
    <xf numFmtId="170" fontId="11" fillId="0" borderId="5" xfId="0" applyNumberFormat="1" applyFont="1" applyBorder="1" applyAlignment="1">
      <alignment horizontal="center" vertical="center"/>
    </xf>
    <xf numFmtId="10" fontId="11" fillId="4" borderId="7" xfId="0" applyNumberFormat="1" applyFont="1" applyFill="1" applyBorder="1" applyAlignment="1">
      <alignment horizontal="center" vertical="center"/>
    </xf>
    <xf numFmtId="170" fontId="11" fillId="4" borderId="9" xfId="0" applyNumberFormat="1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 indent="1"/>
    </xf>
    <xf numFmtId="0" fontId="10" fillId="4" borderId="6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10" fillId="0" borderId="4" xfId="0" applyFont="1" applyBorder="1" applyAlignment="1">
      <alignment horizontal="left" vertical="center" indent="1"/>
    </xf>
    <xf numFmtId="0" fontId="10" fillId="0" borderId="16" xfId="0" applyFont="1" applyBorder="1" applyAlignment="1">
      <alignment horizontal="left" vertical="center" indent="1"/>
    </xf>
    <xf numFmtId="0" fontId="10" fillId="0" borderId="6" xfId="0" applyFont="1" applyBorder="1" applyAlignment="1">
      <alignment horizontal="left" vertical="center" indent="1"/>
    </xf>
    <xf numFmtId="0" fontId="10" fillId="0" borderId="14" xfId="0" applyFont="1" applyBorder="1" applyAlignment="1">
      <alignment horizontal="left" vertical="center" indent="1"/>
    </xf>
    <xf numFmtId="0" fontId="12" fillId="4" borderId="6" xfId="0" applyFont="1" applyFill="1" applyBorder="1" applyAlignment="1">
      <alignment horizontal="left" vertical="center" indent="1"/>
    </xf>
    <xf numFmtId="0" fontId="12" fillId="4" borderId="14" xfId="0" applyFont="1" applyFill="1" applyBorder="1" applyAlignment="1">
      <alignment horizontal="left" vertical="center" indent="1"/>
    </xf>
    <xf numFmtId="0" fontId="12" fillId="4" borderId="8" xfId="0" applyFont="1" applyFill="1" applyBorder="1" applyAlignment="1">
      <alignment horizontal="left" vertical="center" indent="1"/>
    </xf>
    <xf numFmtId="0" fontId="12" fillId="4" borderId="15" xfId="0" applyFont="1" applyFill="1" applyBorder="1" applyAlignment="1">
      <alignment horizontal="left" vertical="center" indent="1"/>
    </xf>
    <xf numFmtId="0" fontId="10" fillId="4" borderId="6" xfId="0" applyFont="1" applyFill="1" applyBorder="1" applyAlignment="1">
      <alignment horizontal="left" vertical="center" indent="1"/>
    </xf>
    <xf numFmtId="0" fontId="10" fillId="4" borderId="14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10" fillId="4" borderId="15" xfId="0" applyFont="1" applyFill="1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9" fontId="0" fillId="0" borderId="0" xfId="2" applyNumberFormat="1" applyFont="1"/>
  </cellXfs>
  <cellStyles count="5">
    <cellStyle name="Célula Vinculada" xfId="4" builtinId="24"/>
    <cellStyle name="Moeda" xfId="1" builtinId="4"/>
    <cellStyle name="Neutro" xfId="3" builtinId="28"/>
    <cellStyle name="Normal" xfId="0" builtinId="0"/>
    <cellStyle name="Porcentagem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Projeto_FII!$B$36:$B$41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Projeto_FII!$C$36:$C$41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0-4D79-94E3-7C1C0BF45B6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Projeto_FII!$B$36:$B$41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Projeto_FII!$D$36:$D$41</c:f>
              <c:numCache>
                <c:formatCode>"R$"\ #,##0.00</c:formatCode>
                <c:ptCount val="6"/>
                <c:pt idx="0">
                  <c:v>64</c:v>
                </c:pt>
                <c:pt idx="1">
                  <c:v>70</c:v>
                </c:pt>
                <c:pt idx="2">
                  <c:v>16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70-4D79-94E3-7C1C0BF45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380999</xdr:colOff>
      <xdr:row>0</xdr:row>
      <xdr:rowOff>104775</xdr:rowOff>
    </xdr:from>
    <xdr:to>
      <xdr:col>5</xdr:col>
      <xdr:colOff>295275</xdr:colOff>
      <xdr:row>9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874A63B-160B-DF66-EB48-1BCF586D0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104775"/>
          <a:ext cx="7858126" cy="17430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</xdr:col>
      <xdr:colOff>257174</xdr:colOff>
      <xdr:row>42</xdr:row>
      <xdr:rowOff>95250</xdr:rowOff>
    </xdr:from>
    <xdr:to>
      <xdr:col>3</xdr:col>
      <xdr:colOff>1752599</xdr:colOff>
      <xdr:row>55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469A8F-D8A4-A484-07FF-7F6E1A4EA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285748</xdr:colOff>
      <xdr:row>10</xdr:row>
      <xdr:rowOff>186418</xdr:rowOff>
    </xdr:from>
    <xdr:to>
      <xdr:col>5</xdr:col>
      <xdr:colOff>337457</xdr:colOff>
      <xdr:row>16</xdr:row>
      <xdr:rowOff>53068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PERCENTUAL">
              <a:extLst>
                <a:ext uri="{FF2B5EF4-FFF2-40B4-BE49-F238E27FC236}">
                  <a16:creationId xmlns:a16="http://schemas.microsoft.com/office/drawing/2014/main" id="{359AE585-38EA-4C95-B06A-8240C82572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CENTU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5998" y="2091418"/>
              <a:ext cx="2185309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CENTUAL" xr10:uid="{021521FB-B2AA-4193-95F8-636C440E1D51}" sourceName="PERCENTUAL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CENTUAL" xr10:uid="{7C2F90ED-2AD1-468B-AA2D-5842713A18F3}" cache="SegmentaçãodeDados_PERCENTUAL" caption="SUGESTÃO_PERCENTUAL" style="SlicerStyleDark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CE8699-4759-42CF-BB37-EE725C9285A3}" name="Tabela2" displayName="Tabela2" ref="A3:D21" totalsRowShown="0" headerRowDxfId="2">
  <tableColumns count="4">
    <tableColumn id="1" xr3:uid="{906BEB24-88E6-4130-AEF6-DF083279FD7C}" name="CHAVE" dataDxfId="6">
      <calculatedColumnFormula>B4&amp;"-"&amp;C4</calculatedColumnFormula>
    </tableColumn>
    <tableColumn id="2" xr3:uid="{949EFC77-0553-4B32-A088-54DA286E19F6}" name="PERFIL" dataDxfId="5"/>
    <tableColumn id="3" xr3:uid="{3243D9DE-3929-4B76-A738-063344BA409B}" name="TIPO DE FII" dataDxfId="4"/>
    <tableColumn id="4" xr3:uid="{D37445D5-E589-430E-8EE8-474DA7A95951}" name="%" dataDxfId="3" dataCellStyle="Porcentagem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60E23E-1275-47E6-8458-4BD4C1D62596}" name="Tabela3" displayName="Tabela3" ref="A23:A26" totalsRowShown="0" dataDxfId="1" dataCellStyle="Porcentagem">
  <autoFilter ref="A23:A26" xr:uid="{9360E23E-1275-47E6-8458-4BD4C1D62596}">
    <filterColumn colId="0">
      <filters>
        <filter val="10%"/>
      </filters>
    </filterColumn>
  </autoFilter>
  <tableColumns count="1">
    <tableColumn id="1" xr3:uid="{7747B44E-B655-4D3A-B1D2-C8014C759514}" name="PERCENTUAL" dataDxfId="0" dataCellStyle="Porcentagem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599E-FF18-4050-8CBD-2A352F914DF5}">
  <sheetPr>
    <tabColor theme="3" tint="0.499984740745262"/>
  </sheetPr>
  <dimension ref="A11:XFD42"/>
  <sheetViews>
    <sheetView showGridLines="0" showRowColHeaders="0" tabSelected="1" topLeftCell="A22" zoomScaleNormal="100" workbookViewId="0">
      <selection activeCell="E2" sqref="E2"/>
    </sheetView>
  </sheetViews>
  <sheetFormatPr defaultColWidth="9.140625" defaultRowHeight="15" x14ac:dyDescent="0.25"/>
  <cols>
    <col min="1" max="1" width="7" customWidth="1"/>
    <col min="2" max="2" width="28.7109375" customWidth="1"/>
    <col min="3" max="3" width="19.42578125" bestFit="1" customWidth="1"/>
    <col min="4" max="5" width="32" customWidth="1"/>
    <col min="6" max="6" width="9.85546875" customWidth="1"/>
    <col min="7" max="7" width="23.5703125" hidden="1" customWidth="1"/>
    <col min="8" max="8" width="10.7109375" hidden="1" customWidth="1"/>
    <col min="9" max="12" width="9.140625" hidden="1" customWidth="1"/>
    <col min="13" max="16382" width="0" hidden="1" customWidth="1"/>
    <col min="16383" max="16383" width="43.5703125" hidden="1" customWidth="1"/>
    <col min="16384" max="16384" width="36" hidden="1" customWidth="1"/>
  </cols>
  <sheetData>
    <row r="11" spans="2:4" ht="15.75" thickBot="1" x14ac:dyDescent="0.3"/>
    <row r="12" spans="2:4" ht="25.5" x14ac:dyDescent="0.25">
      <c r="B12" s="3" t="s">
        <v>16</v>
      </c>
      <c r="C12" s="4"/>
      <c r="D12" s="5"/>
    </row>
    <row r="13" spans="2:4" ht="17.25" x14ac:dyDescent="0.25">
      <c r="B13" s="57" t="s">
        <v>13</v>
      </c>
      <c r="C13" s="58"/>
      <c r="D13" s="51">
        <v>2000</v>
      </c>
    </row>
    <row r="14" spans="2:4" ht="17.25" x14ac:dyDescent="0.25">
      <c r="B14" s="65" t="s">
        <v>14</v>
      </c>
      <c r="C14" s="66"/>
      <c r="D14" s="52">
        <v>6.0000000000000001E-3</v>
      </c>
    </row>
    <row r="15" spans="2:4" ht="18" thickBot="1" x14ac:dyDescent="0.3">
      <c r="B15" s="67" t="s">
        <v>15</v>
      </c>
      <c r="C15" s="68"/>
      <c r="D15" s="53">
        <f>Salario*SUBTOTAL(101,Tabela3[PERCENTUAL])</f>
        <v>200</v>
      </c>
    </row>
    <row r="16" spans="2:4" ht="15.75" thickBot="1" x14ac:dyDescent="0.3"/>
    <row r="17" spans="1:4" ht="26.25" x14ac:dyDescent="0.25">
      <c r="B17" s="6" t="s">
        <v>0</v>
      </c>
      <c r="C17" s="7"/>
      <c r="D17" s="8"/>
    </row>
    <row r="18" spans="1:4" ht="17.25" x14ac:dyDescent="0.25">
      <c r="B18" s="57" t="s">
        <v>1</v>
      </c>
      <c r="C18" s="58"/>
      <c r="D18" s="46">
        <v>200</v>
      </c>
    </row>
    <row r="19" spans="1:4" ht="17.25" x14ac:dyDescent="0.25">
      <c r="B19" s="59" t="s">
        <v>2</v>
      </c>
      <c r="C19" s="60"/>
      <c r="D19" s="47">
        <v>5</v>
      </c>
    </row>
    <row r="20" spans="1:4" ht="17.25" x14ac:dyDescent="0.25">
      <c r="B20" s="59" t="s">
        <v>3</v>
      </c>
      <c r="C20" s="60"/>
      <c r="D20" s="48">
        <v>1.0789999999999999E-2</v>
      </c>
    </row>
    <row r="21" spans="1:4" ht="17.25" x14ac:dyDescent="0.25">
      <c r="B21" s="61" t="s">
        <v>4</v>
      </c>
      <c r="C21" s="62"/>
      <c r="D21" s="49">
        <f>FV(Taxa_Mensal,qtd_anos*12,Aporte*-1)</f>
        <v>16755.382799697527</v>
      </c>
    </row>
    <row r="22" spans="1:4" ht="18" thickBot="1" x14ac:dyDescent="0.3">
      <c r="B22" s="63" t="s">
        <v>5</v>
      </c>
      <c r="C22" s="64"/>
      <c r="D22" s="50">
        <f>Patrimonio*rendimento_carteira</f>
        <v>100.53229679818516</v>
      </c>
    </row>
    <row r="23" spans="1:4" ht="15.75" thickBot="1" x14ac:dyDescent="0.3"/>
    <row r="24" spans="1:4" ht="26.25" thickBot="1" x14ac:dyDescent="0.3">
      <c r="B24" s="9" t="s">
        <v>11</v>
      </c>
      <c r="C24" s="10"/>
      <c r="D24" s="11" t="s">
        <v>12</v>
      </c>
    </row>
    <row r="25" spans="1:4" ht="17.25" x14ac:dyDescent="0.25">
      <c r="A25" s="2">
        <v>2</v>
      </c>
      <c r="B25" s="54" t="s">
        <v>6</v>
      </c>
      <c r="C25" s="40">
        <f>FV(Taxa_Mensal,Anos_2*12,Aporte*-1)</f>
        <v>5445.5254595290435</v>
      </c>
      <c r="D25" s="41">
        <f>C25*rendimento_carteira</f>
        <v>32.673152757174265</v>
      </c>
    </row>
    <row r="26" spans="1:4" ht="17.25" x14ac:dyDescent="0.25">
      <c r="A26" s="2">
        <v>5</v>
      </c>
      <c r="B26" s="55" t="s">
        <v>7</v>
      </c>
      <c r="C26" s="42">
        <f>FV(Taxa_Mensal,Anos_5*12,Aporte*-1)</f>
        <v>16755.382799697527</v>
      </c>
      <c r="D26" s="43">
        <f>C26*rendimento_carteira</f>
        <v>100.53229679818516</v>
      </c>
    </row>
    <row r="27" spans="1:4" ht="17.25" x14ac:dyDescent="0.25">
      <c r="A27" s="2">
        <v>10</v>
      </c>
      <c r="B27" s="55" t="s">
        <v>8</v>
      </c>
      <c r="C27" s="42">
        <f>FV(Taxa_Mensal,Anos_10*12,Aporte*-1)</f>
        <v>48656.842506034438</v>
      </c>
      <c r="D27" s="43">
        <f>C27*rendimento_carteira</f>
        <v>291.94105503620665</v>
      </c>
    </row>
    <row r="28" spans="1:4" ht="17.25" x14ac:dyDescent="0.25">
      <c r="A28" s="2">
        <v>20</v>
      </c>
      <c r="B28" s="55" t="s">
        <v>9</v>
      </c>
      <c r="C28" s="42">
        <f>FV(Taxa_Mensal,Anos_20*12,Aporte*-1)</f>
        <v>225039.68001941612</v>
      </c>
      <c r="D28" s="43">
        <f>C28*rendimento_carteira</f>
        <v>1350.2380801164968</v>
      </c>
    </row>
    <row r="29" spans="1:4" ht="18" thickBot="1" x14ac:dyDescent="0.3">
      <c r="A29" s="2">
        <v>30</v>
      </c>
      <c r="B29" s="56" t="s">
        <v>10</v>
      </c>
      <c r="C29" s="44">
        <f>FV(Taxa_Mensal,Anos_30*12,Aporte*-1)</f>
        <v>864433.93100094295</v>
      </c>
      <c r="D29" s="45">
        <f>C29*rendimento_carteira</f>
        <v>5186.6035860056581</v>
      </c>
    </row>
    <row r="31" spans="1:4" ht="15.75" thickBot="1" x14ac:dyDescent="0.3"/>
    <row r="32" spans="1:4" x14ac:dyDescent="0.25">
      <c r="B32" s="28" t="s">
        <v>17</v>
      </c>
      <c r="C32" s="29"/>
      <c r="D32" s="30" t="s">
        <v>31</v>
      </c>
    </row>
    <row r="33" spans="2:4" ht="15.75" thickBot="1" x14ac:dyDescent="0.3">
      <c r="B33" s="25" t="s">
        <v>18</v>
      </c>
      <c r="C33" s="26"/>
      <c r="D33" s="27">
        <f>Aporte</f>
        <v>200</v>
      </c>
    </row>
    <row r="34" spans="2:4" ht="15.75" thickTop="1" x14ac:dyDescent="0.25">
      <c r="B34" s="31"/>
      <c r="C34" s="32"/>
      <c r="D34" s="33"/>
    </row>
    <row r="35" spans="2:4" x14ac:dyDescent="0.25">
      <c r="B35" s="34" t="s">
        <v>19</v>
      </c>
      <c r="C35" s="35" t="s">
        <v>20</v>
      </c>
      <c r="D35" s="36" t="s">
        <v>21</v>
      </c>
    </row>
    <row r="36" spans="2:4" x14ac:dyDescent="0.25">
      <c r="B36" s="69" t="s">
        <v>22</v>
      </c>
      <c r="C36" s="37">
        <f>VLOOKUP(Perfil&amp;"-"&amp;FII_Papel,Tbl_Apoio!$A:$D,4,FALSE)</f>
        <v>0.32</v>
      </c>
      <c r="D36" s="23">
        <f>C36*$D$33</f>
        <v>64</v>
      </c>
    </row>
    <row r="37" spans="2:4" x14ac:dyDescent="0.25">
      <c r="B37" s="69" t="s">
        <v>23</v>
      </c>
      <c r="C37" s="37">
        <f>VLOOKUP(Perfil&amp;"-"&amp;FII_Tijolo,Tbl_Apoio!$A:$D,4,FALSE)</f>
        <v>0.35</v>
      </c>
      <c r="D37" s="23">
        <f t="shared" ref="D37:D41" si="0">C37*$D$33</f>
        <v>70</v>
      </c>
    </row>
    <row r="38" spans="2:4" x14ac:dyDescent="0.25">
      <c r="B38" s="69" t="s">
        <v>24</v>
      </c>
      <c r="C38" s="37">
        <f>VLOOKUP(Perfil&amp;"-"&amp;FII_Hibridos,Tbl_Apoio!$A:$D,4,FALSE)</f>
        <v>0.08</v>
      </c>
      <c r="D38" s="23">
        <f t="shared" si="0"/>
        <v>16</v>
      </c>
    </row>
    <row r="39" spans="2:4" x14ac:dyDescent="0.25">
      <c r="B39" s="69" t="s">
        <v>25</v>
      </c>
      <c r="C39" s="37">
        <f>VLOOKUP(Perfil&amp;"-"&amp;FII_FOFs,Tbl_Apoio!$A:$D,4,FALSE)</f>
        <v>0.05</v>
      </c>
      <c r="D39" s="23">
        <f t="shared" si="0"/>
        <v>10</v>
      </c>
    </row>
    <row r="40" spans="2:4" x14ac:dyDescent="0.25">
      <c r="B40" s="69" t="s">
        <v>26</v>
      </c>
      <c r="C40" s="37">
        <f>VLOOKUP(Perfil&amp;"-"&amp;FII_Desenvolvimento,Tbl_Apoio!$A:$D,4,FALSE)</f>
        <v>0.1</v>
      </c>
      <c r="D40" s="23">
        <f t="shared" si="0"/>
        <v>20</v>
      </c>
    </row>
    <row r="41" spans="2:4" x14ac:dyDescent="0.25">
      <c r="B41" s="69" t="s">
        <v>27</v>
      </c>
      <c r="C41" s="37">
        <f>VLOOKUP(Perfil&amp;"-"&amp;FII_Hotelarias,Tbl_Apoio!$A:$D,4,FALSE)</f>
        <v>0.1</v>
      </c>
      <c r="D41" s="23">
        <f t="shared" si="0"/>
        <v>20</v>
      </c>
    </row>
    <row r="42" spans="2:4" ht="19.5" thickBot="1" x14ac:dyDescent="0.3">
      <c r="B42" s="38" t="s">
        <v>35</v>
      </c>
      <c r="C42" s="39"/>
      <c r="D42" s="24">
        <f>SUM(D36:D41)</f>
        <v>200</v>
      </c>
    </row>
  </sheetData>
  <mergeCells count="14">
    <mergeCell ref="B13:C13"/>
    <mergeCell ref="B14:C14"/>
    <mergeCell ref="B15:C15"/>
    <mergeCell ref="B12:D12"/>
    <mergeCell ref="B34:D34"/>
    <mergeCell ref="B42:C42"/>
    <mergeCell ref="B33:C33"/>
    <mergeCell ref="B24:C24"/>
    <mergeCell ref="B18:C18"/>
    <mergeCell ref="B19:C19"/>
    <mergeCell ref="B20:C20"/>
    <mergeCell ref="B21:C21"/>
    <mergeCell ref="B22:C22"/>
    <mergeCell ref="B17:D17"/>
  </mergeCells>
  <dataValidations xWindow="671" yWindow="359" count="1">
    <dataValidation type="list" allowBlank="1" showInputMessage="1" showErrorMessage="1" errorTitle="Perfil Inválido" error="Escolha o Perfil de Investidos incluído na lista." promptTitle="Escolha o Perfil" prompt="Escolha o Perfil Desejado." sqref="D32" xr:uid="{080B2A18-D65A-4834-B06F-F98F31D2BE8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11F2-76EE-4B4C-9230-03CB3C849854}">
  <sheetPr>
    <tabColor theme="3" tint="0.749992370372631"/>
  </sheetPr>
  <dimension ref="A2:G26"/>
  <sheetViews>
    <sheetView workbookViewId="0">
      <selection activeCell="A23" sqref="A23:A26"/>
    </sheetView>
  </sheetViews>
  <sheetFormatPr defaultRowHeight="15" x14ac:dyDescent="0.25"/>
  <cols>
    <col min="1" max="1" width="28.5703125" bestFit="1" customWidth="1"/>
    <col min="2" max="2" width="14.42578125" bestFit="1" customWidth="1"/>
    <col min="3" max="3" width="18.5703125" bestFit="1" customWidth="1"/>
    <col min="4" max="4" width="12.140625" bestFit="1" customWidth="1"/>
    <col min="6" max="6" width="16.85546875" bestFit="1" customWidth="1"/>
  </cols>
  <sheetData>
    <row r="2" spans="1:7" x14ac:dyDescent="0.25">
      <c r="G2" t="s">
        <v>33</v>
      </c>
    </row>
    <row r="3" spans="1:7" x14ac:dyDescent="0.25">
      <c r="A3" s="13" t="s">
        <v>29</v>
      </c>
      <c r="B3" s="13" t="s">
        <v>17</v>
      </c>
      <c r="C3" s="13" t="s">
        <v>19</v>
      </c>
      <c r="D3" s="13" t="s">
        <v>33</v>
      </c>
      <c r="F3" s="12" t="s">
        <v>34</v>
      </c>
      <c r="G3" s="21">
        <f>VLOOKUP(F3,$A:$D,4,FALSE)</f>
        <v>0.35</v>
      </c>
    </row>
    <row r="4" spans="1:7" x14ac:dyDescent="0.25">
      <c r="A4" s="14" t="str">
        <f>B4&amp;"-"&amp;C4</f>
        <v>Conservador-PAPEL</v>
      </c>
      <c r="B4" s="13" t="s">
        <v>30</v>
      </c>
      <c r="C4" s="13" t="s">
        <v>22</v>
      </c>
      <c r="D4" s="15">
        <v>0.3</v>
      </c>
    </row>
    <row r="5" spans="1:7" x14ac:dyDescent="0.25">
      <c r="A5" s="14" t="str">
        <f t="shared" ref="A5:A9" si="0">B5&amp;"-"&amp;C5</f>
        <v>Conservador-TIJOLO</v>
      </c>
      <c r="B5" s="13" t="s">
        <v>30</v>
      </c>
      <c r="C5" s="13" t="s">
        <v>23</v>
      </c>
      <c r="D5" s="15">
        <v>0.5</v>
      </c>
    </row>
    <row r="6" spans="1:7" x14ac:dyDescent="0.25">
      <c r="A6" s="14" t="str">
        <f t="shared" si="0"/>
        <v>Conservador-HÍBRIDOS</v>
      </c>
      <c r="B6" s="13" t="s">
        <v>30</v>
      </c>
      <c r="C6" s="13" t="s">
        <v>24</v>
      </c>
      <c r="D6" s="15">
        <v>0.1</v>
      </c>
    </row>
    <row r="7" spans="1:7" x14ac:dyDescent="0.25">
      <c r="A7" s="14" t="str">
        <f t="shared" si="0"/>
        <v>Conservador-FOFs</v>
      </c>
      <c r="B7" s="13" t="s">
        <v>30</v>
      </c>
      <c r="C7" s="13" t="s">
        <v>25</v>
      </c>
      <c r="D7" s="15">
        <v>0.1</v>
      </c>
    </row>
    <row r="8" spans="1:7" x14ac:dyDescent="0.25">
      <c r="A8" s="14" t="str">
        <f t="shared" si="0"/>
        <v>Conservador-DESENVOLVIMENTO</v>
      </c>
      <c r="B8" s="13" t="s">
        <v>30</v>
      </c>
      <c r="C8" s="13" t="s">
        <v>26</v>
      </c>
      <c r="D8" s="15">
        <v>0</v>
      </c>
    </row>
    <row r="9" spans="1:7" ht="15.75" thickBot="1" x14ac:dyDescent="0.3">
      <c r="A9" s="16" t="str">
        <f t="shared" si="0"/>
        <v>Conservador-HOTELARIAS</v>
      </c>
      <c r="B9" s="17" t="s">
        <v>30</v>
      </c>
      <c r="C9" s="17" t="s">
        <v>27</v>
      </c>
      <c r="D9" s="18">
        <v>0</v>
      </c>
    </row>
    <row r="10" spans="1:7" x14ac:dyDescent="0.25">
      <c r="A10" s="14" t="str">
        <f>B10&amp;"-"&amp;C10</f>
        <v>Moderado-PAPEL</v>
      </c>
      <c r="B10" s="13" t="s">
        <v>31</v>
      </c>
      <c r="C10" s="13" t="s">
        <v>22</v>
      </c>
      <c r="D10" s="19">
        <v>0.32</v>
      </c>
    </row>
    <row r="11" spans="1:7" x14ac:dyDescent="0.25">
      <c r="A11" s="14" t="str">
        <f t="shared" ref="A11:A15" si="1">B11&amp;"-"&amp;C11</f>
        <v>Moderado-TIJOLO</v>
      </c>
      <c r="B11" s="13" t="s">
        <v>31</v>
      </c>
      <c r="C11" s="13" t="s">
        <v>23</v>
      </c>
      <c r="D11" s="19">
        <v>0.35</v>
      </c>
    </row>
    <row r="12" spans="1:7" x14ac:dyDescent="0.25">
      <c r="A12" s="14" t="str">
        <f t="shared" si="1"/>
        <v>Moderado-HÍBRIDOS</v>
      </c>
      <c r="B12" s="13" t="s">
        <v>31</v>
      </c>
      <c r="C12" s="13" t="s">
        <v>24</v>
      </c>
      <c r="D12" s="19">
        <v>0.08</v>
      </c>
    </row>
    <row r="13" spans="1:7" x14ac:dyDescent="0.25">
      <c r="A13" s="14" t="str">
        <f t="shared" si="1"/>
        <v>Moderado-FOFs</v>
      </c>
      <c r="B13" s="13" t="s">
        <v>31</v>
      </c>
      <c r="C13" s="13" t="s">
        <v>25</v>
      </c>
      <c r="D13" s="19">
        <v>0.05</v>
      </c>
    </row>
    <row r="14" spans="1:7" x14ac:dyDescent="0.25">
      <c r="A14" s="14" t="str">
        <f t="shared" si="1"/>
        <v>Moderado-DESENVOLVIMENTO</v>
      </c>
      <c r="B14" s="13" t="s">
        <v>31</v>
      </c>
      <c r="C14" s="13" t="s">
        <v>26</v>
      </c>
      <c r="D14" s="19">
        <v>0.1</v>
      </c>
    </row>
    <row r="15" spans="1:7" ht="15.75" thickBot="1" x14ac:dyDescent="0.3">
      <c r="A15" s="16" t="str">
        <f t="shared" si="1"/>
        <v>Moderado-HOTELARIAS</v>
      </c>
      <c r="B15" s="17" t="s">
        <v>31</v>
      </c>
      <c r="C15" s="17" t="s">
        <v>27</v>
      </c>
      <c r="D15" s="20">
        <v>0.1</v>
      </c>
    </row>
    <row r="16" spans="1:7" x14ac:dyDescent="0.25">
      <c r="A16" s="14" t="str">
        <f>B16&amp;"-"&amp;C16</f>
        <v>Agressivo-PAPEL</v>
      </c>
      <c r="B16" s="13" t="s">
        <v>32</v>
      </c>
      <c r="C16" s="13" t="s">
        <v>22</v>
      </c>
      <c r="D16" s="19">
        <v>0.5</v>
      </c>
    </row>
    <row r="17" spans="1:4" x14ac:dyDescent="0.25">
      <c r="A17" s="14" t="str">
        <f t="shared" ref="A17:A21" si="2">B17&amp;"-"&amp;C17</f>
        <v>Agressivo-TIJOLO</v>
      </c>
      <c r="B17" s="13" t="s">
        <v>32</v>
      </c>
      <c r="C17" s="13" t="s">
        <v>23</v>
      </c>
      <c r="D17" s="19">
        <v>0.1</v>
      </c>
    </row>
    <row r="18" spans="1:4" x14ac:dyDescent="0.25">
      <c r="A18" s="14" t="str">
        <f t="shared" si="2"/>
        <v>Agressivo-HÍBRIDOS</v>
      </c>
      <c r="B18" s="13" t="s">
        <v>32</v>
      </c>
      <c r="C18" s="13" t="s">
        <v>24</v>
      </c>
      <c r="D18" s="19">
        <v>0.05</v>
      </c>
    </row>
    <row r="19" spans="1:4" x14ac:dyDescent="0.25">
      <c r="A19" s="14" t="str">
        <f t="shared" si="2"/>
        <v>Agressivo-FOFs</v>
      </c>
      <c r="B19" s="13" t="s">
        <v>32</v>
      </c>
      <c r="C19" s="13" t="s">
        <v>25</v>
      </c>
      <c r="D19" s="19">
        <v>0.05</v>
      </c>
    </row>
    <row r="20" spans="1:4" x14ac:dyDescent="0.25">
      <c r="A20" s="14" t="str">
        <f t="shared" si="2"/>
        <v>Agressivo-DESENVOLVIMENTO</v>
      </c>
      <c r="B20" s="13" t="s">
        <v>32</v>
      </c>
      <c r="C20" s="13" t="s">
        <v>26</v>
      </c>
      <c r="D20" s="22">
        <v>0.2</v>
      </c>
    </row>
    <row r="21" spans="1:4" x14ac:dyDescent="0.25">
      <c r="A21" s="14" t="str">
        <f t="shared" si="2"/>
        <v>Agressivo-HOTELARIAS</v>
      </c>
      <c r="B21" s="13" t="s">
        <v>32</v>
      </c>
      <c r="C21" s="13" t="s">
        <v>27</v>
      </c>
      <c r="D21" s="19">
        <v>0.1</v>
      </c>
    </row>
    <row r="22" spans="1:4" x14ac:dyDescent="0.25">
      <c r="A22" s="1"/>
      <c r="B22" s="1"/>
      <c r="C22" s="1"/>
      <c r="D22" s="1"/>
    </row>
    <row r="23" spans="1:4" x14ac:dyDescent="0.25">
      <c r="A23" t="s">
        <v>28</v>
      </c>
    </row>
    <row r="24" spans="1:4" x14ac:dyDescent="0.25">
      <c r="A24" s="70">
        <v>0.1</v>
      </c>
    </row>
    <row r="25" spans="1:4" hidden="1" x14ac:dyDescent="0.25">
      <c r="A25" s="70">
        <v>0.2</v>
      </c>
    </row>
    <row r="26" spans="1:4" hidden="1" x14ac:dyDescent="0.25">
      <c r="A26" s="70">
        <v>0.3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18</vt:i4>
      </vt:variant>
    </vt:vector>
  </HeadingPairs>
  <TitlesOfParts>
    <vt:vector size="20" baseType="lpstr">
      <vt:lpstr>Projeto_FII</vt:lpstr>
      <vt:lpstr>Tbl_Apoio</vt:lpstr>
      <vt:lpstr>Anos_10</vt:lpstr>
      <vt:lpstr>Anos_2</vt:lpstr>
      <vt:lpstr>Anos_20</vt:lpstr>
      <vt:lpstr>Anos_30</vt:lpstr>
      <vt:lpstr>Anos_5</vt:lpstr>
      <vt:lpstr>Aporte</vt:lpstr>
      <vt:lpstr>FII_Desenvolvimento</vt:lpstr>
      <vt:lpstr>FII_FOFs</vt:lpstr>
      <vt:lpstr>FII_Hibridos</vt:lpstr>
      <vt:lpstr>FII_Hotelarias</vt:lpstr>
      <vt:lpstr>FII_Papel</vt:lpstr>
      <vt:lpstr>FII_Tijolo</vt:lpstr>
      <vt:lpstr>Patrimonio</vt:lpstr>
      <vt:lpstr>Perfil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Giseli ISilva</dc:creator>
  <cp:lastModifiedBy>Giseli ISilva</cp:lastModifiedBy>
  <dcterms:created xsi:type="dcterms:W3CDTF">2026-01-12T13:49:05Z</dcterms:created>
  <dcterms:modified xsi:type="dcterms:W3CDTF">2026-01-12T18:40:43Z</dcterms:modified>
</cp:coreProperties>
</file>